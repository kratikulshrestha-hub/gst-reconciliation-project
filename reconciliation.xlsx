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3bf943e0b2c1a2/Documents/"/>
    </mc:Choice>
  </mc:AlternateContent>
  <xr:revisionPtr revIDLastSave="82" documentId="8_{BBB7CAAD-975E-4574-9B76-984602DE11E3}" xr6:coauthVersionLast="47" xr6:coauthVersionMax="47" xr10:uidLastSave="{5A093DF7-88E9-46B3-A3CA-0AEBC7A48108}"/>
  <bookViews>
    <workbookView xWindow="-108" yWindow="-108" windowWidth="23256" windowHeight="12456" activeTab="6" xr2:uid="{EE1C9682-6C71-456F-BFAA-63FDC6DF07AD}"/>
  </bookViews>
  <sheets>
    <sheet name="GSTR1" sheetId="1" r:id="rId1"/>
    <sheet name="GSTR3" sheetId="2" r:id="rId2"/>
    <sheet name="Reconciliation" sheetId="5" r:id="rId3"/>
    <sheet name="Summary" sheetId="7" r:id="rId4"/>
    <sheet name="Report" sheetId="9" r:id="rId5"/>
    <sheet name="Charts" sheetId="10" r:id="rId6"/>
    <sheet name="Instructions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 a="1"/>
  <c r="J1" i="5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I1" i="5" a="1"/>
  <c r="I1" i="5" s="1"/>
  <c r="K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<sst xmlns="http://schemas.openxmlformats.org/spreadsheetml/2006/main" count="329" uniqueCount="239">
  <si>
    <t>Invoice No</t>
  </si>
  <si>
    <t>Date</t>
  </si>
  <si>
    <t>Customer Name</t>
  </si>
  <si>
    <t>GSTIN</t>
  </si>
  <si>
    <t>Taxable Value</t>
  </si>
  <si>
    <t>CGST</t>
  </si>
  <si>
    <t>SGST</t>
  </si>
  <si>
    <t>IGST</t>
  </si>
  <si>
    <t>Total Tax</t>
  </si>
  <si>
    <t>INV001</t>
  </si>
  <si>
    <t>ABC Traders</t>
  </si>
  <si>
    <t>07AAAAA0000A1Z5</t>
  </si>
  <si>
    <t>INV002</t>
  </si>
  <si>
    <t>XYZ Enterprises</t>
  </si>
  <si>
    <t>07BBBBB1111B2Z6</t>
  </si>
  <si>
    <t>INV003</t>
  </si>
  <si>
    <t>PQR Solutions</t>
  </si>
  <si>
    <t>07CCCCC2222C3Z7</t>
  </si>
  <si>
    <t>INV004</t>
  </si>
  <si>
    <t>LMN Industries</t>
  </si>
  <si>
    <t>07DDDDD3333D4Z8</t>
  </si>
  <si>
    <t>INV005</t>
  </si>
  <si>
    <t>GHI Corporation</t>
  </si>
  <si>
    <t>07EEEEE4444E5Z9</t>
  </si>
  <si>
    <t>INV006</t>
  </si>
  <si>
    <t>RST Group</t>
  </si>
  <si>
    <t>07FFFFF5555F6Z1</t>
  </si>
  <si>
    <t>INV007</t>
  </si>
  <si>
    <t>MNO Private Ltd</t>
  </si>
  <si>
    <t>07GGGGG6666G7Z2</t>
  </si>
  <si>
    <t>INV008</t>
  </si>
  <si>
    <t>JKL Associates</t>
  </si>
  <si>
    <t>07HHHHH7777H8Z3</t>
  </si>
  <si>
    <t>INV009</t>
  </si>
  <si>
    <t>DEF Limited</t>
  </si>
  <si>
    <t>07IIIII8888I9Z4</t>
  </si>
  <si>
    <t>INV010</t>
  </si>
  <si>
    <t>UVW Enterprises</t>
  </si>
  <si>
    <t>07JJJJJ9999J1Z5</t>
  </si>
  <si>
    <t>INV011</t>
  </si>
  <si>
    <t>STU Industries</t>
  </si>
  <si>
    <t>07KKKKK1111K2Z6</t>
  </si>
  <si>
    <t>INV012</t>
  </si>
  <si>
    <t>NOP Traders</t>
  </si>
  <si>
    <t>07LLLLL2222L3Z7</t>
  </si>
  <si>
    <t>INV013</t>
  </si>
  <si>
    <t>QRS Solutions</t>
  </si>
  <si>
    <t>07MMMMM3333M4Z8</t>
  </si>
  <si>
    <t>INV014</t>
  </si>
  <si>
    <t>VWX Corporation</t>
  </si>
  <si>
    <t>07NNNNN4444N5Z9</t>
  </si>
  <si>
    <t>INV015</t>
  </si>
  <si>
    <t>YZ Group</t>
  </si>
  <si>
    <t>07OOOOO5555O6Z1</t>
  </si>
  <si>
    <t>INV016</t>
  </si>
  <si>
    <t>BCD Associates</t>
  </si>
  <si>
    <t>07PPPPP6666P7Z2</t>
  </si>
  <si>
    <t>INV017</t>
  </si>
  <si>
    <t>EFG Limited</t>
  </si>
  <si>
    <t>07QQQQQ7777Q8Z3</t>
  </si>
  <si>
    <t>INV018</t>
  </si>
  <si>
    <t>HIJ Enterprises</t>
  </si>
  <si>
    <t>07RRRRR8888R9Z4</t>
  </si>
  <si>
    <t>INV019</t>
  </si>
  <si>
    <t>KLM Industries</t>
  </si>
  <si>
    <t>07SSSSS9999S1Z5</t>
  </si>
  <si>
    <t>INV020</t>
  </si>
  <si>
    <t>NOP Private Ltd</t>
  </si>
  <si>
    <t>07TTTTT1111T2Z6</t>
  </si>
  <si>
    <t>INV021</t>
  </si>
  <si>
    <t>Maharashtra Traders</t>
  </si>
  <si>
    <t>27AAAAA0000A1Z5</t>
  </si>
  <si>
    <t>INV022</t>
  </si>
  <si>
    <t>Gujarat Enterprises</t>
  </si>
  <si>
    <t>24BBBBB1111B2Z6</t>
  </si>
  <si>
    <t>INV023</t>
  </si>
  <si>
    <t>Karnataka Solutions</t>
  </si>
  <si>
    <t>29CCCCC2222C3Z7</t>
  </si>
  <si>
    <t>INV024</t>
  </si>
  <si>
    <t>Tamil Nadu Industries</t>
  </si>
  <si>
    <t>33DDDDD3333D4Z8</t>
  </si>
  <si>
    <t>INV025</t>
  </si>
  <si>
    <t>Delhi Corporation</t>
  </si>
  <si>
    <t>Table No</t>
  </si>
  <si>
    <t>Description</t>
  </si>
  <si>
    <t>3.1(a)</t>
  </si>
  <si>
    <t>Outward Taxable Supplies</t>
  </si>
  <si>
    <t>4(A)(5)</t>
  </si>
  <si>
    <t>ITC Claimed</t>
  </si>
  <si>
    <t>Tax Payable</t>
  </si>
  <si>
    <t>Interest</t>
  </si>
  <si>
    <t>Gross Amount</t>
  </si>
  <si>
    <t>Calculated Tax (5%)</t>
  </si>
  <si>
    <t>Invoice Amount</t>
  </si>
  <si>
    <t>Tax Amount</t>
  </si>
  <si>
    <t>Discount</t>
  </si>
  <si>
    <t>Difference</t>
  </si>
  <si>
    <t>Status</t>
  </si>
  <si>
    <t>Mismatch</t>
  </si>
  <si>
    <t>TOTAL</t>
  </si>
  <si>
    <t>Particulars</t>
  </si>
  <si>
    <t>Amount</t>
  </si>
  <si>
    <t>Total Sales as per GSTR-1</t>
  </si>
  <si>
    <t>Total Sales as per GSTR-3B</t>
  </si>
  <si>
    <t>Variance in Sales</t>
  </si>
  <si>
    <t>Total Tax as per GSTR-1</t>
  </si>
  <si>
    <t>Total Tax as per GSTR-3B</t>
  </si>
  <si>
    <t>Variance in Tax</t>
  </si>
  <si>
    <t>ITC as per GSTR-1 (Eligible)</t>
  </si>
  <si>
    <t>ITC Claimed in GSTR-3B</t>
  </si>
  <si>
    <t>ITC Mismatch</t>
  </si>
  <si>
    <t>Mismatch Type</t>
  </si>
  <si>
    <t>Percentage</t>
  </si>
  <si>
    <t>Sales Value Mismatch</t>
  </si>
  <si>
    <t>Tax Amount Mismatch</t>
  </si>
  <si>
    <t>Total Mismatch</t>
  </si>
  <si>
    <t>Reason</t>
  </si>
  <si>
    <t>Count</t>
  </si>
  <si>
    <t>Timing Difference</t>
  </si>
  <si>
    <t>Rate Difference</t>
  </si>
  <si>
    <t>Missing Entries</t>
  </si>
  <si>
    <t>Data Entry Error</t>
  </si>
  <si>
    <t>Interstate vs Intrastate</t>
  </si>
  <si>
    <t>PROJECT OUTCOME:</t>
  </si>
  <si>
    <t>Project Name</t>
  </si>
  <si>
    <t>Period</t>
  </si>
  <si>
    <t>Total Invoices</t>
  </si>
  <si>
    <t>Total Value</t>
  </si>
  <si>
    <t>GST Reconciliation Project - August 2024</t>
  </si>
  <si>
    <t>01-08-2024 to 31-08-2024</t>
  </si>
  <si>
    <t>Tool/Technique</t>
  </si>
  <si>
    <t>Used For</t>
  </si>
  <si>
    <t>VLOOKUP</t>
  </si>
  <si>
    <t>Matching invoices with 3B data</t>
  </si>
  <si>
    <t>Pivot Tables</t>
  </si>
  <si>
    <t>Summary analysis</t>
  </si>
  <si>
    <t>Conditional Formatting</t>
  </si>
  <si>
    <t>Highlight mismatches</t>
  </si>
  <si>
    <t>Data Validation</t>
  </si>
  <si>
    <t>Reason categorization</t>
  </si>
  <si>
    <t>Charts</t>
  </si>
  <si>
    <t>Visual representation</t>
  </si>
  <si>
    <t>GSTR-1</t>
  </si>
  <si>
    <t>GSTR-3B</t>
  </si>
  <si>
    <t>Total Sales Value</t>
  </si>
  <si>
    <t>Total Tax Amount</t>
  </si>
  <si>
    <t>Input Tax Credit (ITC)</t>
  </si>
  <si>
    <t>ITC Claim Mismatch</t>
  </si>
  <si>
    <t>Tax Payment Mismatch</t>
  </si>
  <si>
    <t>No. of Invoices</t>
  </si>
  <si>
    <t>Timing Differences</t>
  </si>
  <si>
    <t>Rate Differences</t>
  </si>
  <si>
    <t>Data Entry Errors</t>
  </si>
  <si>
    <t>Metric</t>
  </si>
  <si>
    <t>Value</t>
  </si>
  <si>
    <t>Total Mismatch Identified</t>
  </si>
  <si>
    <t>Template Created</t>
  </si>
  <si>
    <t>Yes</t>
  </si>
  <si>
    <t>Reconciliation Time Reduction</t>
  </si>
  <si>
    <t>Significant</t>
  </si>
  <si>
    <t>PROJECT HEADER:</t>
  </si>
  <si>
    <t>TOOLS &amp; TECHNIQUES:</t>
  </si>
  <si>
    <t>KEY FINDINGS TABLE:</t>
  </si>
  <si>
    <t>MAJOR MISMATCHES:</t>
  </si>
  <si>
    <t>ROOT CAUSES BREAKUP:</t>
  </si>
  <si>
    <t>Category</t>
  </si>
  <si>
    <t>Sales Value</t>
  </si>
  <si>
    <t>ITC Amount</t>
  </si>
  <si>
    <t>Pie Chart ke liye data:</t>
  </si>
  <si>
    <t>Sales Mismatch</t>
  </si>
  <si>
    <t>Tax Mismatch</t>
  </si>
  <si>
    <t>Sheet Name</t>
  </si>
  <si>
    <t>Details</t>
  </si>
  <si>
    <t>GSTR1_Data</t>
  </si>
  <si>
    <t>Contains 25 sample invoices</t>
  </si>
  <si>
    <t>25 transactions</t>
  </si>
  <si>
    <t>GSTR3B_Data</t>
  </si>
  <si>
    <t>Contains summary figures</t>
  </si>
  <si>
    <t>Monthly summary</t>
  </si>
  <si>
    <t>Feature</t>
  </si>
  <si>
    <t>Reconciliation</t>
  </si>
  <si>
    <t>Color Coding</t>
  </si>
  <si>
    <t>Shows mismatches</t>
  </si>
  <si>
    <t>Red Color</t>
  </si>
  <si>
    <t>Mismatch detected</t>
  </si>
  <si>
    <t>Green Color</t>
  </si>
  <si>
    <t>Matched</t>
  </si>
  <si>
    <t>Step No.</t>
  </si>
  <si>
    <t>Action</t>
  </si>
  <si>
    <t>Select Range</t>
  </si>
  <si>
    <t>H2 to H26</t>
  </si>
  <si>
    <t>Go to Menu</t>
  </si>
  <si>
    <t>Home &gt; Conditional Formatting</t>
  </si>
  <si>
    <t>Choose Option</t>
  </si>
  <si>
    <t>Highlight Cell Rules &gt; Equal To</t>
  </si>
  <si>
    <t>For Mismatch</t>
  </si>
  <si>
    <t>Type "Mismatch" → Red Color</t>
  </si>
  <si>
    <t>For Match</t>
  </si>
  <si>
    <t>Type "Match" → Green Color</t>
  </si>
  <si>
    <t>Column</t>
  </si>
  <si>
    <t>Formula</t>
  </si>
  <si>
    <t>Location</t>
  </si>
  <si>
    <t>Formula Name</t>
  </si>
  <si>
    <t>Purpose</t>
  </si>
  <si>
    <t>Match invoices with 3B data</t>
  </si>
  <si>
    <t>IF Condition</t>
  </si>
  <si>
    <t>Check mismatch status</t>
  </si>
  <si>
    <t>SUM</t>
  </si>
  <si>
    <t>Calculate totals</t>
  </si>
  <si>
    <t>Task</t>
  </si>
  <si>
    <t>Data Entry</t>
  </si>
  <si>
    <t>Sheet: GSTR1_Data</t>
  </si>
  <si>
    <t>Paste invoices</t>
  </si>
  <si>
    <t>Summary</t>
  </si>
  <si>
    <t>Sheet: GSTR3B_Data</t>
  </si>
  <si>
    <t>Enter monthly figures</t>
  </si>
  <si>
    <t>Sheet: Reconciliation</t>
  </si>
  <si>
    <t>Auto-calculates</t>
  </si>
  <si>
    <t>Formatting</t>
  </si>
  <si>
    <t>Column H</t>
  </si>
  <si>
    <t>Apply colors</t>
  </si>
  <si>
    <t>Totals</t>
  </si>
  <si>
    <t>Row 27</t>
  </si>
  <si>
    <t>Auto-sum</t>
  </si>
  <si>
    <t>Column Name</t>
  </si>
  <si>
    <t>B</t>
  </si>
  <si>
    <t>C</t>
  </si>
  <si>
    <t>D</t>
  </si>
  <si>
    <t>E</t>
  </si>
  <si>
    <t>F</t>
  </si>
  <si>
    <t>G</t>
  </si>
  <si>
    <t>VLOOKUP(A2,GSTR1_Data!A:I,9,G27FALSE).</t>
  </si>
  <si>
    <t>IF(G2=0,"Match","Mismatch")</t>
  </si>
  <si>
    <t>SUM(B2:B26)</t>
  </si>
  <si>
    <t>SUM(C2:C26)</t>
  </si>
  <si>
    <t>SUM(D2:D26)</t>
  </si>
  <si>
    <t>SUM(E2:E26)</t>
  </si>
  <si>
    <t>SUM(F2:F26)</t>
  </si>
  <si>
    <t>SUM(G2:G26)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</si>
</sst>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10"/>
      <color rgb="FFF9FAFB"/>
      <name val="Segoe UI"/>
      <family val="2"/>
    </font>
    <font>
      <sz val="8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4">
    <xf numFmtId="0" fontId="0" fillId="0" borderId="0" xfId="0"/>
    <xf numFmtId="0" fontId="2" fillId="2" borderId="1" xfId="1" applyAlignment="1">
      <alignment horizontal="left" vertical="center" wrapText="1" indent="1"/>
    </xf>
    <xf numFmtId="14" fontId="2" fillId="2" borderId="1" xfId="1" applyNumberFormat="1" applyAlignment="1">
      <alignment horizontal="left" vertical="center" wrapText="1" indent="1"/>
    </xf>
    <xf numFmtId="0" fontId="1" fillId="3" borderId="0" xfId="2"/>
    <xf numFmtId="0" fontId="1" fillId="4" borderId="0" xfId="3"/>
    <xf numFmtId="0" fontId="3" fillId="0" borderId="0" xfId="0" applyFont="1"/>
    <xf numFmtId="0" fontId="1" fillId="5" borderId="0" xfId="4"/>
    <xf numFmtId="0" fontId="1" fillId="6" borderId="0" xfId="5"/>
    <xf numFmtId="0" fontId="1" fillId="7" borderId="0" xfId="6"/>
    <xf numFmtId="0" fontId="1" fillId="8" borderId="0" xfId="7"/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wrapText="1" indent="1"/>
    </xf>
    <xf numFmtId="0" fontId="5" fillId="0" borderId="0" xfId="0" applyFont="1" applyAlignment="1">
      <alignment vertical="center" wrapText="1"/>
    </xf>
    <xf numFmtId="0" fontId="4" fillId="0" borderId="0" xfId="0" applyFont="1"/>
  </cellXfs>
  <cellStyles count="8">
    <cellStyle name="20% - Accent1" xfId="2" builtinId="30"/>
    <cellStyle name="20% - Accent2" xfId="4" builtinId="34"/>
    <cellStyle name="40% - Accent2" xfId="5" builtinId="35"/>
    <cellStyle name="60% - Accent1" xfId="3" builtinId="32"/>
    <cellStyle name="60% - Accent2" xfId="6" builtinId="36"/>
    <cellStyle name="60% - Accent5" xfId="7" builtinId="4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GSTR-1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Charts!$A$2:$A$4</c:f>
              <c:strCache>
                <c:ptCount val="3"/>
                <c:pt idx="0">
                  <c:v>Sales Value</c:v>
                </c:pt>
                <c:pt idx="1">
                  <c:v>Tax Amount</c:v>
                </c:pt>
                <c:pt idx="2">
                  <c:v>ITC Amount</c:v>
                </c:pt>
              </c:strCache>
            </c:strRef>
          </c:cat>
          <c:val>
            <c:numRef>
              <c:f>Charts!$B$2:$B$4</c:f>
              <c:numCache>
                <c:formatCode>General</c:formatCode>
                <c:ptCount val="3"/>
                <c:pt idx="0">
                  <c:v>835200</c:v>
                </c:pt>
                <c:pt idx="1">
                  <c:v>41698</c:v>
                </c:pt>
                <c:pt idx="2">
                  <c:v>715200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1-4381-A209-D14A7FDE9A10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GSTR-3B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Charts!$A$2:$A$4</c:f>
              <c:strCache>
                <c:ptCount val="3"/>
                <c:pt idx="0">
                  <c:v>Sales Value</c:v>
                </c:pt>
                <c:pt idx="1">
                  <c:v>Tax Amount</c:v>
                </c:pt>
                <c:pt idx="2">
                  <c:v>ITC Amount</c:v>
                </c:pt>
              </c:strCache>
            </c:strRef>
          </c:cat>
          <c:val>
            <c:numRef>
              <c:f>Charts!$C$2:$C$4</c:f>
              <c:numCache>
                <c:formatCode>General</c:formatCode>
                <c:ptCount val="3"/>
                <c:pt idx="0">
                  <c:v>785000</c:v>
                </c:pt>
                <c:pt idx="1">
                  <c:v>40501</c:v>
                </c:pt>
                <c:pt idx="2">
                  <c:v>695000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1-4381-A209-D14A7FDE9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Charts!$B$6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Charts!$A$7:$A$9</c:f>
              <c:strCache>
                <c:ptCount val="3"/>
                <c:pt idx="0">
                  <c:v>Sales Mismatch</c:v>
                </c:pt>
                <c:pt idx="1">
                  <c:v>Tax Mismatch</c:v>
                </c:pt>
                <c:pt idx="2">
                  <c:v>ITC Mismatch</c:v>
                </c:pt>
              </c:strCache>
            </c:strRef>
          </c:cat>
          <c:val>
            <c:numRef>
              <c:f>Charts!$B$7:$B$9</c:f>
              <c:numCache>
                <c:formatCode>General</c:formatCode>
                <c:ptCount val="3"/>
                <c:pt idx="0">
                  <c:v>50200</c:v>
                </c:pt>
                <c:pt idx="1">
                  <c:v>1197</c:v>
                </c:pt>
                <c:pt idx="2">
                  <c:v>20200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E-4D33-B0BF-6B69791A5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296080"/>
        <c:axId val="668297040"/>
      </c:barChart>
      <c:catAx>
        <c:axId val="66829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97040"/>
        <c:crosses val="autoZero"/>
        <c:auto val="1"/>
        <c:lblAlgn val="ctr"/>
        <c:lblOffset val="100"/>
        <c:noMultiLvlLbl val="0"/>
      </c:catAx>
      <c:valAx>
        <c:axId val="6682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9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3810</xdr:rowOff>
    </xdr:from>
    <xdr:to>
      <xdr:col>10</xdr:col>
      <xdr:colOff>548640</xdr:colOff>
      <xdr:row>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99CB7-FD36-7CA9-4089-55F0458CD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</xdr:colOff>
      <xdr:row>0</xdr:row>
      <xdr:rowOff>156210</xdr:rowOff>
    </xdr:from>
    <xdr:to>
      <xdr:col>18</xdr:col>
      <xdr:colOff>350520</xdr:colOff>
      <xdr:row>7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58667-DEEE-FC44-D3DB-92CA466CF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CFEA-EBD5-4214-8592-41F13C1B4A13}">
  <dimension ref="A1:I26"/>
  <sheetViews>
    <sheetView workbookViewId="0">
      <selection activeCell="K5" sqref="K5"/>
    </sheetView>
  </sheetViews>
  <sheetFormatPr defaultRowHeight="14.4" x14ac:dyDescent="0.3"/>
  <cols>
    <col min="1" max="1" width="17.33203125" customWidth="1"/>
    <col min="2" max="2" width="16.33203125" customWidth="1"/>
    <col min="3" max="3" width="18.6640625" customWidth="1"/>
    <col min="4" max="4" width="24.33203125" customWidth="1"/>
    <col min="5" max="5" width="12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1" t="s">
        <v>9</v>
      </c>
      <c r="B2" s="2">
        <v>45505</v>
      </c>
      <c r="C2" s="1" t="s">
        <v>10</v>
      </c>
      <c r="D2" s="1" t="s">
        <v>11</v>
      </c>
      <c r="E2" s="1">
        <v>25000</v>
      </c>
      <c r="F2" s="1">
        <v>625</v>
      </c>
      <c r="G2" s="1">
        <v>625</v>
      </c>
      <c r="H2" s="1">
        <v>0</v>
      </c>
      <c r="I2" s="1">
        <v>1250</v>
      </c>
    </row>
    <row r="3" spans="1:9" ht="28.8" x14ac:dyDescent="0.3">
      <c r="A3" s="1" t="s">
        <v>12</v>
      </c>
      <c r="B3" s="2">
        <v>45507</v>
      </c>
      <c r="C3" s="1" t="s">
        <v>13</v>
      </c>
      <c r="D3" s="1" t="s">
        <v>14</v>
      </c>
      <c r="E3" s="1">
        <v>42000</v>
      </c>
      <c r="F3" s="1">
        <v>1050</v>
      </c>
      <c r="G3" s="1">
        <v>1050</v>
      </c>
      <c r="H3" s="1">
        <v>0</v>
      </c>
      <c r="I3" s="1">
        <v>2100</v>
      </c>
    </row>
    <row r="4" spans="1:9" ht="28.8" x14ac:dyDescent="0.3">
      <c r="A4" s="1" t="s">
        <v>15</v>
      </c>
      <c r="B4" s="2">
        <v>45509</v>
      </c>
      <c r="C4" s="1" t="s">
        <v>16</v>
      </c>
      <c r="D4" s="1" t="s">
        <v>17</v>
      </c>
      <c r="E4" s="1">
        <v>18500</v>
      </c>
      <c r="F4" s="1">
        <v>463</v>
      </c>
      <c r="G4" s="1">
        <v>463</v>
      </c>
      <c r="H4" s="1">
        <v>0</v>
      </c>
      <c r="I4" s="1">
        <v>926</v>
      </c>
    </row>
    <row r="5" spans="1:9" ht="28.8" x14ac:dyDescent="0.3">
      <c r="A5" s="1" t="s">
        <v>18</v>
      </c>
      <c r="B5" s="2">
        <v>45511</v>
      </c>
      <c r="C5" s="1" t="s">
        <v>19</v>
      </c>
      <c r="D5" s="1" t="s">
        <v>20</v>
      </c>
      <c r="E5" s="1">
        <v>35200</v>
      </c>
      <c r="F5" s="1">
        <v>880</v>
      </c>
      <c r="G5" s="1">
        <v>880</v>
      </c>
      <c r="H5" s="1">
        <v>0</v>
      </c>
      <c r="I5" s="1">
        <v>1760</v>
      </c>
    </row>
    <row r="6" spans="1:9" x14ac:dyDescent="0.3">
      <c r="A6" s="1" t="s">
        <v>21</v>
      </c>
      <c r="B6" s="2">
        <v>45513</v>
      </c>
      <c r="C6" s="1" t="s">
        <v>22</v>
      </c>
      <c r="D6" s="1" t="s">
        <v>23</v>
      </c>
      <c r="E6" s="1">
        <v>12800</v>
      </c>
      <c r="F6" s="1">
        <v>320</v>
      </c>
      <c r="G6" s="1">
        <v>320</v>
      </c>
      <c r="H6" s="1">
        <v>0</v>
      </c>
      <c r="I6" s="1">
        <v>640</v>
      </c>
    </row>
    <row r="7" spans="1:9" x14ac:dyDescent="0.3">
      <c r="A7" s="1" t="s">
        <v>24</v>
      </c>
      <c r="B7" s="2">
        <v>45515</v>
      </c>
      <c r="C7" s="1" t="s">
        <v>25</v>
      </c>
      <c r="D7" s="1" t="s">
        <v>26</v>
      </c>
      <c r="E7" s="1">
        <v>51500</v>
      </c>
      <c r="F7" s="1">
        <v>1288</v>
      </c>
      <c r="G7" s="1">
        <v>1288</v>
      </c>
      <c r="H7" s="1">
        <v>0</v>
      </c>
      <c r="I7" s="1">
        <v>2576</v>
      </c>
    </row>
    <row r="8" spans="1:9" ht="28.8" x14ac:dyDescent="0.3">
      <c r="A8" s="1" t="s">
        <v>27</v>
      </c>
      <c r="B8" s="2">
        <v>45517</v>
      </c>
      <c r="C8" s="1" t="s">
        <v>28</v>
      </c>
      <c r="D8" s="1" t="s">
        <v>29</v>
      </c>
      <c r="E8" s="1">
        <v>22300</v>
      </c>
      <c r="F8" s="1">
        <v>558</v>
      </c>
      <c r="G8" s="1">
        <v>558</v>
      </c>
      <c r="H8" s="1">
        <v>0</v>
      </c>
      <c r="I8" s="1">
        <v>1116</v>
      </c>
    </row>
    <row r="9" spans="1:9" ht="28.8" x14ac:dyDescent="0.3">
      <c r="A9" s="1" t="s">
        <v>30</v>
      </c>
      <c r="B9" s="2">
        <v>45519</v>
      </c>
      <c r="C9" s="1" t="s">
        <v>31</v>
      </c>
      <c r="D9" s="1" t="s">
        <v>32</v>
      </c>
      <c r="E9" s="1">
        <v>31700</v>
      </c>
      <c r="F9" s="1">
        <v>793</v>
      </c>
      <c r="G9" s="1">
        <v>793</v>
      </c>
      <c r="H9" s="1">
        <v>0</v>
      </c>
      <c r="I9" s="1">
        <v>1586</v>
      </c>
    </row>
    <row r="10" spans="1:9" x14ac:dyDescent="0.3">
      <c r="A10" s="1" t="s">
        <v>33</v>
      </c>
      <c r="B10" s="2">
        <v>45521</v>
      </c>
      <c r="C10" s="1" t="s">
        <v>34</v>
      </c>
      <c r="D10" s="1" t="s">
        <v>35</v>
      </c>
      <c r="E10" s="1">
        <v>45600</v>
      </c>
      <c r="F10" s="1">
        <v>1140</v>
      </c>
      <c r="G10" s="1">
        <v>1140</v>
      </c>
      <c r="H10" s="1">
        <v>0</v>
      </c>
      <c r="I10" s="1">
        <v>2280</v>
      </c>
    </row>
    <row r="11" spans="1:9" x14ac:dyDescent="0.3">
      <c r="A11" s="1" t="s">
        <v>36</v>
      </c>
      <c r="B11" s="2">
        <v>45523</v>
      </c>
      <c r="C11" s="1" t="s">
        <v>37</v>
      </c>
      <c r="D11" s="1" t="s">
        <v>38</v>
      </c>
      <c r="E11" s="1">
        <v>28400</v>
      </c>
      <c r="F11" s="1">
        <v>710</v>
      </c>
      <c r="G11" s="1">
        <v>710</v>
      </c>
      <c r="H11" s="1">
        <v>0</v>
      </c>
      <c r="I11" s="1">
        <v>1420</v>
      </c>
    </row>
    <row r="12" spans="1:9" ht="28.8" x14ac:dyDescent="0.3">
      <c r="A12" s="1" t="s">
        <v>39</v>
      </c>
      <c r="B12" s="2">
        <v>45525</v>
      </c>
      <c r="C12" s="1" t="s">
        <v>40</v>
      </c>
      <c r="D12" s="1" t="s">
        <v>41</v>
      </c>
      <c r="E12" s="1">
        <v>16900</v>
      </c>
      <c r="F12" s="1">
        <v>423</v>
      </c>
      <c r="G12" s="1">
        <v>423</v>
      </c>
      <c r="H12" s="1">
        <v>0</v>
      </c>
      <c r="I12" s="1">
        <v>846</v>
      </c>
    </row>
    <row r="13" spans="1:9" x14ac:dyDescent="0.3">
      <c r="A13" s="1" t="s">
        <v>42</v>
      </c>
      <c r="B13" s="2">
        <v>45527</v>
      </c>
      <c r="C13" s="1" t="s">
        <v>43</v>
      </c>
      <c r="D13" s="1" t="s">
        <v>44</v>
      </c>
      <c r="E13" s="1">
        <v>39300</v>
      </c>
      <c r="F13" s="1">
        <v>983</v>
      </c>
      <c r="G13" s="1">
        <v>983</v>
      </c>
      <c r="H13" s="1">
        <v>0</v>
      </c>
      <c r="I13" s="1">
        <v>1966</v>
      </c>
    </row>
    <row r="14" spans="1:9" ht="28.8" x14ac:dyDescent="0.3">
      <c r="A14" s="1" t="s">
        <v>45</v>
      </c>
      <c r="B14" s="2">
        <v>45529</v>
      </c>
      <c r="C14" s="1" t="s">
        <v>46</v>
      </c>
      <c r="D14" s="1" t="s">
        <v>47</v>
      </c>
      <c r="E14" s="1">
        <v>27600</v>
      </c>
      <c r="F14" s="1">
        <v>690</v>
      </c>
      <c r="G14" s="1">
        <v>690</v>
      </c>
      <c r="H14" s="1">
        <v>0</v>
      </c>
      <c r="I14" s="1">
        <v>1380</v>
      </c>
    </row>
    <row r="15" spans="1:9" ht="28.8" x14ac:dyDescent="0.3">
      <c r="A15" s="1" t="s">
        <v>48</v>
      </c>
      <c r="B15" s="2">
        <v>45530</v>
      </c>
      <c r="C15" s="1" t="s">
        <v>49</v>
      </c>
      <c r="D15" s="1" t="s">
        <v>50</v>
      </c>
      <c r="E15" s="1">
        <v>33400</v>
      </c>
      <c r="F15" s="1">
        <v>835</v>
      </c>
      <c r="G15" s="1">
        <v>835</v>
      </c>
      <c r="H15" s="1">
        <v>0</v>
      </c>
      <c r="I15" s="1">
        <v>1670</v>
      </c>
    </row>
    <row r="16" spans="1:9" ht="28.8" x14ac:dyDescent="0.3">
      <c r="A16" s="1" t="s">
        <v>51</v>
      </c>
      <c r="B16" s="2">
        <v>45531</v>
      </c>
      <c r="C16" s="1" t="s">
        <v>52</v>
      </c>
      <c r="D16" s="1" t="s">
        <v>53</v>
      </c>
      <c r="E16" s="1">
        <v>41200</v>
      </c>
      <c r="F16" s="1">
        <v>1030</v>
      </c>
      <c r="G16" s="1">
        <v>1030</v>
      </c>
      <c r="H16" s="1">
        <v>0</v>
      </c>
      <c r="I16" s="1">
        <v>2060</v>
      </c>
    </row>
    <row r="17" spans="1:9" ht="28.8" x14ac:dyDescent="0.3">
      <c r="A17" s="1" t="s">
        <v>54</v>
      </c>
      <c r="B17" s="2">
        <v>45532</v>
      </c>
      <c r="C17" s="1" t="s">
        <v>55</v>
      </c>
      <c r="D17" s="1" t="s">
        <v>56</v>
      </c>
      <c r="E17" s="1">
        <v>19800</v>
      </c>
      <c r="F17" s="1">
        <v>495</v>
      </c>
      <c r="G17" s="1">
        <v>495</v>
      </c>
      <c r="H17" s="1">
        <v>0</v>
      </c>
      <c r="I17" s="1">
        <v>990</v>
      </c>
    </row>
    <row r="18" spans="1:9" x14ac:dyDescent="0.3">
      <c r="A18" s="1" t="s">
        <v>57</v>
      </c>
      <c r="B18" s="2">
        <v>45533</v>
      </c>
      <c r="C18" s="1" t="s">
        <v>58</v>
      </c>
      <c r="D18" s="1" t="s">
        <v>59</v>
      </c>
      <c r="E18" s="1">
        <v>36500</v>
      </c>
      <c r="F18" s="1">
        <v>913</v>
      </c>
      <c r="G18" s="1">
        <v>913</v>
      </c>
      <c r="H18" s="1">
        <v>0</v>
      </c>
      <c r="I18" s="1">
        <v>1826</v>
      </c>
    </row>
    <row r="19" spans="1:9" x14ac:dyDescent="0.3">
      <c r="A19" s="1" t="s">
        <v>60</v>
      </c>
      <c r="B19" s="2">
        <v>45533</v>
      </c>
      <c r="C19" s="1" t="s">
        <v>61</v>
      </c>
      <c r="D19" s="1" t="s">
        <v>62</v>
      </c>
      <c r="E19" s="1">
        <v>23900</v>
      </c>
      <c r="F19" s="1">
        <v>598</v>
      </c>
      <c r="G19" s="1">
        <v>598</v>
      </c>
      <c r="H19" s="1">
        <v>0</v>
      </c>
      <c r="I19" s="1">
        <v>1196</v>
      </c>
    </row>
    <row r="20" spans="1:9" x14ac:dyDescent="0.3">
      <c r="A20" s="1" t="s">
        <v>63</v>
      </c>
      <c r="B20" s="2">
        <v>45534</v>
      </c>
      <c r="C20" s="1" t="s">
        <v>64</v>
      </c>
      <c r="D20" s="1" t="s">
        <v>65</v>
      </c>
      <c r="E20" s="1">
        <v>48200</v>
      </c>
      <c r="F20" s="1">
        <v>1205</v>
      </c>
      <c r="G20" s="1">
        <v>1205</v>
      </c>
      <c r="H20" s="1">
        <v>0</v>
      </c>
      <c r="I20" s="1">
        <v>2410</v>
      </c>
    </row>
    <row r="21" spans="1:9" x14ac:dyDescent="0.3">
      <c r="A21" s="1" t="s">
        <v>66</v>
      </c>
      <c r="B21" s="2">
        <v>45535</v>
      </c>
      <c r="C21" s="1" t="s">
        <v>67</v>
      </c>
      <c r="D21" s="1" t="s">
        <v>68</v>
      </c>
      <c r="E21" s="1">
        <v>29600</v>
      </c>
      <c r="F21" s="1">
        <v>740</v>
      </c>
      <c r="G21" s="1">
        <v>740</v>
      </c>
      <c r="H21" s="1">
        <v>0</v>
      </c>
      <c r="I21" s="1">
        <v>1480</v>
      </c>
    </row>
    <row r="22" spans="1:9" ht="28.8" x14ac:dyDescent="0.3">
      <c r="A22" s="1" t="s">
        <v>69</v>
      </c>
      <c r="B22" s="2">
        <v>45506</v>
      </c>
      <c r="C22" s="1" t="s">
        <v>70</v>
      </c>
      <c r="D22" s="1" t="s">
        <v>71</v>
      </c>
      <c r="E22" s="1">
        <v>52000</v>
      </c>
      <c r="F22" s="1">
        <v>0</v>
      </c>
      <c r="G22" s="1">
        <v>0</v>
      </c>
      <c r="H22" s="1">
        <v>2600</v>
      </c>
      <c r="I22" s="1">
        <v>2600</v>
      </c>
    </row>
    <row r="23" spans="1:9" x14ac:dyDescent="0.3">
      <c r="A23" s="1" t="s">
        <v>72</v>
      </c>
      <c r="B23" s="2">
        <v>45512</v>
      </c>
      <c r="C23" s="1" t="s">
        <v>73</v>
      </c>
      <c r="D23" s="1" t="s">
        <v>74</v>
      </c>
      <c r="E23" s="1">
        <v>34500</v>
      </c>
      <c r="F23" s="1">
        <v>0</v>
      </c>
      <c r="G23" s="1">
        <v>0</v>
      </c>
      <c r="H23" s="1">
        <v>1725</v>
      </c>
      <c r="I23" s="1">
        <v>1725</v>
      </c>
    </row>
    <row r="24" spans="1:9" ht="28.8" x14ac:dyDescent="0.3">
      <c r="A24" s="1" t="s">
        <v>75</v>
      </c>
      <c r="B24" s="2">
        <v>45518</v>
      </c>
      <c r="C24" s="1" t="s">
        <v>76</v>
      </c>
      <c r="D24" s="1" t="s">
        <v>77</v>
      </c>
      <c r="E24" s="1">
        <v>43200</v>
      </c>
      <c r="F24" s="1">
        <v>0</v>
      </c>
      <c r="G24" s="1">
        <v>0</v>
      </c>
      <c r="H24" s="1">
        <v>2160</v>
      </c>
      <c r="I24" s="1">
        <v>2160</v>
      </c>
    </row>
    <row r="25" spans="1:9" ht="28.8" x14ac:dyDescent="0.3">
      <c r="A25" s="1" t="s">
        <v>78</v>
      </c>
      <c r="B25" s="2">
        <v>45524</v>
      </c>
      <c r="C25" s="1" t="s">
        <v>79</v>
      </c>
      <c r="D25" s="1" t="s">
        <v>80</v>
      </c>
      <c r="E25" s="1">
        <v>27800</v>
      </c>
      <c r="F25" s="1">
        <v>0</v>
      </c>
      <c r="G25" s="1">
        <v>0</v>
      </c>
      <c r="H25" s="1">
        <v>1390</v>
      </c>
      <c r="I25" s="1">
        <v>1390</v>
      </c>
    </row>
    <row r="26" spans="1:9" x14ac:dyDescent="0.3">
      <c r="A26" s="1" t="s">
        <v>81</v>
      </c>
      <c r="B26" s="2">
        <v>45528</v>
      </c>
      <c r="C26" s="1" t="s">
        <v>82</v>
      </c>
      <c r="D26" s="1" t="s">
        <v>23</v>
      </c>
      <c r="E26" s="1">
        <v>38900</v>
      </c>
      <c r="F26" s="1">
        <v>0</v>
      </c>
      <c r="G26" s="1">
        <v>0</v>
      </c>
      <c r="H26" s="1">
        <v>1945</v>
      </c>
      <c r="I26" s="1">
        <v>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0824-B559-41F0-9673-E9C0A1E00F26}">
  <dimension ref="A1:G5"/>
  <sheetViews>
    <sheetView workbookViewId="0">
      <selection activeCell="D9" sqref="D9"/>
    </sheetView>
  </sheetViews>
  <sheetFormatPr defaultRowHeight="14.4" x14ac:dyDescent="0.3"/>
  <cols>
    <col min="2" max="2" width="16.6640625" customWidth="1"/>
    <col min="3" max="3" width="13.33203125" customWidth="1"/>
  </cols>
  <sheetData>
    <row r="1" spans="1:7" ht="28.8" x14ac:dyDescent="0.3">
      <c r="A1" s="1" t="s">
        <v>83</v>
      </c>
      <c r="B1" s="1" t="s">
        <v>84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28.8" x14ac:dyDescent="0.3">
      <c r="A2" s="1" t="s">
        <v>85</v>
      </c>
      <c r="B2" s="1" t="s">
        <v>86</v>
      </c>
      <c r="C2" s="1">
        <v>785000</v>
      </c>
      <c r="D2" s="1">
        <v>19625</v>
      </c>
      <c r="E2" s="1">
        <v>19625</v>
      </c>
      <c r="F2" s="1">
        <v>9820</v>
      </c>
      <c r="G2" s="1">
        <v>49070</v>
      </c>
    </row>
    <row r="3" spans="1:7" x14ac:dyDescent="0.3">
      <c r="A3" s="1" t="s">
        <v>87</v>
      </c>
      <c r="B3" s="1" t="s">
        <v>88</v>
      </c>
      <c r="C3" s="1">
        <v>695000</v>
      </c>
      <c r="D3" s="1">
        <v>17375</v>
      </c>
      <c r="E3" s="1">
        <v>17375</v>
      </c>
      <c r="F3" s="1">
        <v>8500</v>
      </c>
      <c r="G3" s="1">
        <v>43250</v>
      </c>
    </row>
    <row r="4" spans="1:7" x14ac:dyDescent="0.3">
      <c r="A4" s="1">
        <v>5</v>
      </c>
      <c r="B4" s="1" t="s">
        <v>89</v>
      </c>
      <c r="C4" s="1">
        <v>785000</v>
      </c>
      <c r="D4" s="1">
        <v>19625</v>
      </c>
      <c r="E4" s="1">
        <v>19625</v>
      </c>
      <c r="F4" s="1">
        <v>9820</v>
      </c>
      <c r="G4" s="1">
        <v>49070</v>
      </c>
    </row>
    <row r="5" spans="1:7" x14ac:dyDescent="0.3">
      <c r="A5" s="1">
        <v>6</v>
      </c>
      <c r="B5" s="1" t="s">
        <v>90</v>
      </c>
      <c r="C5" s="1">
        <v>0</v>
      </c>
      <c r="D5" s="1">
        <v>600</v>
      </c>
      <c r="E5" s="1">
        <v>600</v>
      </c>
      <c r="F5" s="1">
        <v>0</v>
      </c>
      <c r="G5" s="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7CF7-9AE3-49D2-B2CD-5CD5182B7816}">
  <dimension ref="A1:K27"/>
  <sheetViews>
    <sheetView workbookViewId="0">
      <selection activeCell="K3" sqref="K3"/>
    </sheetView>
  </sheetViews>
  <sheetFormatPr defaultRowHeight="14.4" x14ac:dyDescent="0.3"/>
  <cols>
    <col min="1" max="1" width="11" customWidth="1"/>
    <col min="2" max="2" width="15.6640625" customWidth="1"/>
    <col min="3" max="3" width="20" customWidth="1"/>
    <col min="4" max="4" width="15" customWidth="1"/>
    <col min="5" max="5" width="12.21875" customWidth="1"/>
    <col min="6" max="6" width="11.109375" customWidth="1"/>
    <col min="7" max="7" width="15" customWidth="1"/>
    <col min="8" max="8" width="10.6640625" customWidth="1"/>
  </cols>
  <sheetData>
    <row r="1" spans="1:11" x14ac:dyDescent="0.3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e" cm="1">
        <f t="array" ref="I1:I27">C1:C27-E1:E27</f>
        <v>#VALUE!</v>
      </c>
      <c r="J1" t="str" cm="1">
        <f t="array" ref="J1:J26">IF(G1:G26=0,"Match","Mismatch")</f>
        <v>Mismatch</v>
      </c>
    </row>
    <row r="2" spans="1:11" x14ac:dyDescent="0.3">
      <c r="A2" t="s">
        <v>9</v>
      </c>
      <c r="B2">
        <v>25000</v>
      </c>
      <c r="C2">
        <v>1250</v>
      </c>
      <c r="D2">
        <v>25000</v>
      </c>
      <c r="E2">
        <v>1200</v>
      </c>
      <c r="F2">
        <v>0</v>
      </c>
      <c r="G2">
        <f>C2-E2</f>
        <v>50</v>
      </c>
      <c r="H2" t="s">
        <v>98</v>
      </c>
      <c r="I2">
        <v>50</v>
      </c>
      <c r="J2" t="str">
        <v>Mismatch</v>
      </c>
      <c r="K2" s="13">
        <f>C2-E2</f>
        <v>50</v>
      </c>
    </row>
    <row r="3" spans="1:11" x14ac:dyDescent="0.3">
      <c r="A3" t="s">
        <v>12</v>
      </c>
      <c r="B3">
        <v>42000</v>
      </c>
      <c r="C3">
        <v>2100</v>
      </c>
      <c r="D3">
        <v>42000</v>
      </c>
      <c r="E3">
        <v>2050</v>
      </c>
      <c r="F3">
        <v>0</v>
      </c>
      <c r="G3">
        <f t="shared" ref="G3:G26" si="0">C3-E3</f>
        <v>50</v>
      </c>
      <c r="H3" t="s">
        <v>98</v>
      </c>
      <c r="I3">
        <v>50</v>
      </c>
      <c r="J3" t="str">
        <v>Mismatch</v>
      </c>
    </row>
    <row r="4" spans="1:11" x14ac:dyDescent="0.3">
      <c r="A4" t="s">
        <v>15</v>
      </c>
      <c r="B4">
        <v>18500</v>
      </c>
      <c r="C4">
        <v>926</v>
      </c>
      <c r="D4">
        <v>18500</v>
      </c>
      <c r="E4">
        <v>900</v>
      </c>
      <c r="F4">
        <v>0</v>
      </c>
      <c r="G4">
        <f t="shared" si="0"/>
        <v>26</v>
      </c>
      <c r="H4" t="s">
        <v>98</v>
      </c>
      <c r="I4">
        <v>26</v>
      </c>
      <c r="J4" t="str">
        <v>Mismatch</v>
      </c>
    </row>
    <row r="5" spans="1:11" x14ac:dyDescent="0.3">
      <c r="A5" t="s">
        <v>18</v>
      </c>
      <c r="B5">
        <v>35200</v>
      </c>
      <c r="C5">
        <v>1760</v>
      </c>
      <c r="D5">
        <v>35200</v>
      </c>
      <c r="E5">
        <v>1700</v>
      </c>
      <c r="F5">
        <v>0</v>
      </c>
      <c r="G5">
        <f t="shared" si="0"/>
        <v>60</v>
      </c>
      <c r="H5" t="s">
        <v>98</v>
      </c>
      <c r="I5">
        <v>60</v>
      </c>
      <c r="J5" t="str">
        <v>Mismatch</v>
      </c>
    </row>
    <row r="6" spans="1:11" x14ac:dyDescent="0.3">
      <c r="A6" t="s">
        <v>21</v>
      </c>
      <c r="B6">
        <v>12800</v>
      </c>
      <c r="C6">
        <v>640</v>
      </c>
      <c r="D6">
        <v>12800</v>
      </c>
      <c r="E6">
        <v>620</v>
      </c>
      <c r="F6">
        <v>0</v>
      </c>
      <c r="G6">
        <f t="shared" si="0"/>
        <v>20</v>
      </c>
      <c r="H6" t="s">
        <v>98</v>
      </c>
      <c r="I6">
        <v>20</v>
      </c>
      <c r="J6" t="str">
        <v>Mismatch</v>
      </c>
    </row>
    <row r="7" spans="1:11" x14ac:dyDescent="0.3">
      <c r="A7" t="s">
        <v>24</v>
      </c>
      <c r="B7">
        <v>51500</v>
      </c>
      <c r="C7">
        <v>2576</v>
      </c>
      <c r="D7">
        <v>51500</v>
      </c>
      <c r="E7">
        <v>2500</v>
      </c>
      <c r="F7">
        <v>0</v>
      </c>
      <c r="G7">
        <f t="shared" si="0"/>
        <v>76</v>
      </c>
      <c r="H7" t="s">
        <v>98</v>
      </c>
      <c r="I7">
        <v>76</v>
      </c>
      <c r="J7" t="str">
        <v>Mismatch</v>
      </c>
    </row>
    <row r="8" spans="1:11" x14ac:dyDescent="0.3">
      <c r="A8" t="s">
        <v>27</v>
      </c>
      <c r="B8">
        <v>22300</v>
      </c>
      <c r="C8">
        <v>1116</v>
      </c>
      <c r="D8">
        <v>22300</v>
      </c>
      <c r="E8">
        <v>1080</v>
      </c>
      <c r="F8">
        <v>0</v>
      </c>
      <c r="G8">
        <f t="shared" si="0"/>
        <v>36</v>
      </c>
      <c r="H8" t="s">
        <v>98</v>
      </c>
      <c r="I8">
        <v>36</v>
      </c>
      <c r="J8" t="str">
        <v>Mismatch</v>
      </c>
    </row>
    <row r="9" spans="1:11" x14ac:dyDescent="0.3">
      <c r="A9" t="s">
        <v>30</v>
      </c>
      <c r="B9">
        <v>31700</v>
      </c>
      <c r="C9">
        <v>1586</v>
      </c>
      <c r="D9">
        <v>31700</v>
      </c>
      <c r="E9">
        <v>1540</v>
      </c>
      <c r="F9">
        <v>0</v>
      </c>
      <c r="G9">
        <f t="shared" si="0"/>
        <v>46</v>
      </c>
      <c r="H9" t="s">
        <v>98</v>
      </c>
      <c r="I9">
        <v>46</v>
      </c>
      <c r="J9" t="str">
        <v>Mismatch</v>
      </c>
    </row>
    <row r="10" spans="1:11" x14ac:dyDescent="0.3">
      <c r="A10" t="s">
        <v>33</v>
      </c>
      <c r="B10">
        <v>45600</v>
      </c>
      <c r="C10">
        <v>2280</v>
      </c>
      <c r="D10">
        <v>45600</v>
      </c>
      <c r="E10">
        <v>2210</v>
      </c>
      <c r="F10">
        <v>0</v>
      </c>
      <c r="G10">
        <f t="shared" si="0"/>
        <v>70</v>
      </c>
      <c r="H10" t="s">
        <v>98</v>
      </c>
      <c r="I10">
        <v>70</v>
      </c>
      <c r="J10" t="str">
        <v>Mismatch</v>
      </c>
    </row>
    <row r="11" spans="1:11" x14ac:dyDescent="0.3">
      <c r="A11" t="s">
        <v>36</v>
      </c>
      <c r="B11">
        <v>28400</v>
      </c>
      <c r="C11">
        <v>1420</v>
      </c>
      <c r="D11">
        <v>28400</v>
      </c>
      <c r="E11">
        <v>1380</v>
      </c>
      <c r="F11">
        <v>0</v>
      </c>
      <c r="G11">
        <f t="shared" si="0"/>
        <v>40</v>
      </c>
      <c r="H11" t="s">
        <v>98</v>
      </c>
      <c r="I11">
        <v>40</v>
      </c>
      <c r="J11" t="str">
        <v>Mismatch</v>
      </c>
    </row>
    <row r="12" spans="1:11" x14ac:dyDescent="0.3">
      <c r="A12" t="s">
        <v>39</v>
      </c>
      <c r="B12">
        <v>16900</v>
      </c>
      <c r="C12">
        <v>846</v>
      </c>
      <c r="D12">
        <v>16900</v>
      </c>
      <c r="E12">
        <v>820</v>
      </c>
      <c r="F12">
        <v>0</v>
      </c>
      <c r="G12">
        <f t="shared" si="0"/>
        <v>26</v>
      </c>
      <c r="H12" t="s">
        <v>98</v>
      </c>
      <c r="I12">
        <v>26</v>
      </c>
      <c r="J12" t="str">
        <v>Mismatch</v>
      </c>
    </row>
    <row r="13" spans="1:11" x14ac:dyDescent="0.3">
      <c r="A13" t="s">
        <v>42</v>
      </c>
      <c r="B13">
        <v>39300</v>
      </c>
      <c r="C13">
        <v>1966</v>
      </c>
      <c r="D13">
        <v>39300</v>
      </c>
      <c r="E13">
        <v>1910</v>
      </c>
      <c r="F13">
        <v>0</v>
      </c>
      <c r="G13">
        <f t="shared" si="0"/>
        <v>56</v>
      </c>
      <c r="H13" t="s">
        <v>98</v>
      </c>
      <c r="I13">
        <v>56</v>
      </c>
      <c r="J13" t="str">
        <v>Mismatch</v>
      </c>
    </row>
    <row r="14" spans="1:11" x14ac:dyDescent="0.3">
      <c r="A14" t="s">
        <v>45</v>
      </c>
      <c r="B14">
        <v>27600</v>
      </c>
      <c r="C14">
        <v>1380</v>
      </c>
      <c r="D14">
        <v>27600</v>
      </c>
      <c r="E14">
        <v>1340</v>
      </c>
      <c r="F14">
        <v>0</v>
      </c>
      <c r="G14">
        <f t="shared" si="0"/>
        <v>40</v>
      </c>
      <c r="H14" t="s">
        <v>98</v>
      </c>
      <c r="I14">
        <v>40</v>
      </c>
      <c r="J14" t="str">
        <v>Mismatch</v>
      </c>
    </row>
    <row r="15" spans="1:11" x14ac:dyDescent="0.3">
      <c r="A15" t="s">
        <v>48</v>
      </c>
      <c r="B15">
        <v>33400</v>
      </c>
      <c r="C15">
        <v>1670</v>
      </c>
      <c r="D15">
        <v>33400</v>
      </c>
      <c r="E15">
        <v>1620</v>
      </c>
      <c r="F15">
        <v>0</v>
      </c>
      <c r="G15">
        <f t="shared" si="0"/>
        <v>50</v>
      </c>
      <c r="H15" t="s">
        <v>98</v>
      </c>
      <c r="I15">
        <v>50</v>
      </c>
      <c r="J15" t="str">
        <v>Mismatch</v>
      </c>
    </row>
    <row r="16" spans="1:11" x14ac:dyDescent="0.3">
      <c r="A16" t="s">
        <v>51</v>
      </c>
      <c r="B16">
        <v>41200</v>
      </c>
      <c r="C16">
        <v>2060</v>
      </c>
      <c r="D16">
        <v>41200</v>
      </c>
      <c r="E16">
        <v>2000</v>
      </c>
      <c r="F16">
        <v>0</v>
      </c>
      <c r="G16">
        <f t="shared" si="0"/>
        <v>60</v>
      </c>
      <c r="H16" t="s">
        <v>98</v>
      </c>
      <c r="I16">
        <v>60</v>
      </c>
      <c r="J16" t="str">
        <v>Mismatch</v>
      </c>
    </row>
    <row r="17" spans="1:10" x14ac:dyDescent="0.3">
      <c r="A17" t="s">
        <v>54</v>
      </c>
      <c r="B17">
        <v>19800</v>
      </c>
      <c r="C17">
        <v>990</v>
      </c>
      <c r="D17">
        <v>19800</v>
      </c>
      <c r="E17">
        <v>960</v>
      </c>
      <c r="F17">
        <v>0</v>
      </c>
      <c r="G17">
        <f t="shared" si="0"/>
        <v>30</v>
      </c>
      <c r="H17" t="s">
        <v>98</v>
      </c>
      <c r="I17">
        <v>30</v>
      </c>
      <c r="J17" t="str">
        <v>Mismatch</v>
      </c>
    </row>
    <row r="18" spans="1:10" x14ac:dyDescent="0.3">
      <c r="A18" t="s">
        <v>57</v>
      </c>
      <c r="B18">
        <v>36500</v>
      </c>
      <c r="C18">
        <v>1826</v>
      </c>
      <c r="D18">
        <v>36500</v>
      </c>
      <c r="E18">
        <v>1770</v>
      </c>
      <c r="F18">
        <v>0</v>
      </c>
      <c r="G18">
        <f t="shared" si="0"/>
        <v>56</v>
      </c>
      <c r="H18" t="s">
        <v>98</v>
      </c>
      <c r="I18">
        <v>56</v>
      </c>
      <c r="J18" t="str">
        <v>Mismatch</v>
      </c>
    </row>
    <row r="19" spans="1:10" x14ac:dyDescent="0.3">
      <c r="A19" t="s">
        <v>60</v>
      </c>
      <c r="B19">
        <v>23900</v>
      </c>
      <c r="C19">
        <v>1196</v>
      </c>
      <c r="D19">
        <v>23900</v>
      </c>
      <c r="E19">
        <v>1160</v>
      </c>
      <c r="F19">
        <v>0</v>
      </c>
      <c r="G19">
        <f t="shared" si="0"/>
        <v>36</v>
      </c>
      <c r="H19" t="s">
        <v>98</v>
      </c>
      <c r="I19">
        <v>36</v>
      </c>
      <c r="J19" t="str">
        <v>Mismatch</v>
      </c>
    </row>
    <row r="20" spans="1:10" x14ac:dyDescent="0.3">
      <c r="A20" t="s">
        <v>63</v>
      </c>
      <c r="B20">
        <v>48200</v>
      </c>
      <c r="C20">
        <v>2410</v>
      </c>
      <c r="D20">
        <v>48200</v>
      </c>
      <c r="E20">
        <v>2340</v>
      </c>
      <c r="F20">
        <v>0</v>
      </c>
      <c r="G20">
        <f t="shared" si="0"/>
        <v>70</v>
      </c>
      <c r="H20" t="s">
        <v>98</v>
      </c>
      <c r="I20">
        <v>70</v>
      </c>
      <c r="J20" t="str">
        <v>Mismatch</v>
      </c>
    </row>
    <row r="21" spans="1:10" x14ac:dyDescent="0.3">
      <c r="A21" t="s">
        <v>66</v>
      </c>
      <c r="B21">
        <v>29600</v>
      </c>
      <c r="C21">
        <v>1480</v>
      </c>
      <c r="D21">
        <v>29600</v>
      </c>
      <c r="E21">
        <v>1440</v>
      </c>
      <c r="F21">
        <v>0</v>
      </c>
      <c r="G21">
        <f t="shared" si="0"/>
        <v>40</v>
      </c>
      <c r="H21" t="s">
        <v>98</v>
      </c>
      <c r="I21">
        <v>40</v>
      </c>
      <c r="J21" t="str">
        <v>Mismatch</v>
      </c>
    </row>
    <row r="22" spans="1:10" x14ac:dyDescent="0.3">
      <c r="A22" t="s">
        <v>69</v>
      </c>
      <c r="B22">
        <v>52000</v>
      </c>
      <c r="C22">
        <v>2600</v>
      </c>
      <c r="D22">
        <v>52000</v>
      </c>
      <c r="E22">
        <v>2520</v>
      </c>
      <c r="F22">
        <v>0</v>
      </c>
      <c r="G22">
        <f t="shared" si="0"/>
        <v>80</v>
      </c>
      <c r="H22" t="s">
        <v>98</v>
      </c>
      <c r="I22">
        <v>80</v>
      </c>
      <c r="J22" t="str">
        <v>Mismatch</v>
      </c>
    </row>
    <row r="23" spans="1:10" x14ac:dyDescent="0.3">
      <c r="A23" t="s">
        <v>72</v>
      </c>
      <c r="B23">
        <v>34500</v>
      </c>
      <c r="C23">
        <v>1725</v>
      </c>
      <c r="D23">
        <v>34500</v>
      </c>
      <c r="E23">
        <v>1670</v>
      </c>
      <c r="F23">
        <v>0</v>
      </c>
      <c r="G23">
        <f t="shared" si="0"/>
        <v>55</v>
      </c>
      <c r="H23" t="s">
        <v>98</v>
      </c>
      <c r="I23">
        <v>55</v>
      </c>
      <c r="J23" t="str">
        <v>Mismatch</v>
      </c>
    </row>
    <row r="24" spans="1:10" x14ac:dyDescent="0.3">
      <c r="A24" t="s">
        <v>75</v>
      </c>
      <c r="B24">
        <v>43200</v>
      </c>
      <c r="C24">
        <v>2160</v>
      </c>
      <c r="D24">
        <v>43200</v>
      </c>
      <c r="E24">
        <v>2100</v>
      </c>
      <c r="F24">
        <v>0</v>
      </c>
      <c r="G24">
        <f t="shared" si="0"/>
        <v>60</v>
      </c>
      <c r="H24" t="s">
        <v>98</v>
      </c>
      <c r="I24">
        <v>60</v>
      </c>
      <c r="J24" t="str">
        <v>Mismatch</v>
      </c>
    </row>
    <row r="25" spans="1:10" x14ac:dyDescent="0.3">
      <c r="A25" t="s">
        <v>78</v>
      </c>
      <c r="B25">
        <v>27800</v>
      </c>
      <c r="C25">
        <v>1390</v>
      </c>
      <c r="D25">
        <v>27800</v>
      </c>
      <c r="E25">
        <v>1350</v>
      </c>
      <c r="F25">
        <v>0</v>
      </c>
      <c r="G25">
        <f t="shared" si="0"/>
        <v>40</v>
      </c>
      <c r="H25" t="s">
        <v>98</v>
      </c>
      <c r="I25">
        <v>40</v>
      </c>
      <c r="J25" t="str">
        <v>Mismatch</v>
      </c>
    </row>
    <row r="26" spans="1:10" x14ac:dyDescent="0.3">
      <c r="A26" t="s">
        <v>81</v>
      </c>
      <c r="B26">
        <v>38900</v>
      </c>
      <c r="C26">
        <v>1945</v>
      </c>
      <c r="D26">
        <v>38900</v>
      </c>
      <c r="E26">
        <v>1890</v>
      </c>
      <c r="F26">
        <v>0</v>
      </c>
      <c r="G26">
        <f t="shared" si="0"/>
        <v>55</v>
      </c>
      <c r="H26" t="s">
        <v>98</v>
      </c>
      <c r="I26">
        <v>55</v>
      </c>
      <c r="J26" t="str">
        <v>Mismatch</v>
      </c>
    </row>
    <row r="27" spans="1:10" x14ac:dyDescent="0.3">
      <c r="A27" t="s">
        <v>99</v>
      </c>
      <c r="B27">
        <v>835200</v>
      </c>
      <c r="C27">
        <v>41698</v>
      </c>
      <c r="D27">
        <v>835200</v>
      </c>
      <c r="E27">
        <v>40501</v>
      </c>
      <c r="F27">
        <v>0</v>
      </c>
      <c r="G27">
        <v>1197</v>
      </c>
      <c r="I27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CC80-E18D-47B7-9A20-A8AA41530E69}">
  <dimension ref="A1:C23"/>
  <sheetViews>
    <sheetView workbookViewId="0">
      <selection activeCell="E2" sqref="E2"/>
    </sheetView>
  </sheetViews>
  <sheetFormatPr defaultRowHeight="14.4" x14ac:dyDescent="0.3"/>
  <cols>
    <col min="1" max="1" width="31" customWidth="1"/>
    <col min="2" max="2" width="14.109375" customWidth="1"/>
    <col min="3" max="3" width="11" customWidth="1"/>
  </cols>
  <sheetData>
    <row r="1" spans="1:3" x14ac:dyDescent="0.3">
      <c r="A1" t="s">
        <v>100</v>
      </c>
      <c r="B1" t="s">
        <v>101</v>
      </c>
    </row>
    <row r="2" spans="1:3" x14ac:dyDescent="0.3">
      <c r="A2" t="s">
        <v>102</v>
      </c>
      <c r="B2">
        <v>835200</v>
      </c>
    </row>
    <row r="3" spans="1:3" x14ac:dyDescent="0.3">
      <c r="A3" t="s">
        <v>103</v>
      </c>
      <c r="B3">
        <v>785000</v>
      </c>
    </row>
    <row r="4" spans="1:3" x14ac:dyDescent="0.3">
      <c r="A4" t="s">
        <v>104</v>
      </c>
      <c r="B4">
        <v>50200</v>
      </c>
    </row>
    <row r="5" spans="1:3" x14ac:dyDescent="0.3">
      <c r="A5" t="s">
        <v>105</v>
      </c>
      <c r="B5">
        <v>41698</v>
      </c>
    </row>
    <row r="6" spans="1:3" x14ac:dyDescent="0.3">
      <c r="A6" t="s">
        <v>106</v>
      </c>
      <c r="B6">
        <v>40501</v>
      </c>
    </row>
    <row r="7" spans="1:3" x14ac:dyDescent="0.3">
      <c r="A7" t="s">
        <v>107</v>
      </c>
      <c r="B7">
        <v>1197</v>
      </c>
    </row>
    <row r="8" spans="1:3" x14ac:dyDescent="0.3">
      <c r="A8" t="s">
        <v>108</v>
      </c>
      <c r="B8">
        <v>715200</v>
      </c>
    </row>
    <row r="9" spans="1:3" x14ac:dyDescent="0.3">
      <c r="A9" t="s">
        <v>109</v>
      </c>
      <c r="B9">
        <v>695000</v>
      </c>
    </row>
    <row r="10" spans="1:3" x14ac:dyDescent="0.3">
      <c r="A10" t="s">
        <v>110</v>
      </c>
      <c r="B10">
        <v>20200</v>
      </c>
    </row>
    <row r="12" spans="1:3" x14ac:dyDescent="0.3">
      <c r="A12" t="s">
        <v>111</v>
      </c>
      <c r="B12" t="s">
        <v>101</v>
      </c>
      <c r="C12" t="s">
        <v>112</v>
      </c>
    </row>
    <row r="13" spans="1:3" x14ac:dyDescent="0.3">
      <c r="A13" t="s">
        <v>113</v>
      </c>
      <c r="B13">
        <v>50200</v>
      </c>
      <c r="C13">
        <v>70</v>
      </c>
    </row>
    <row r="14" spans="1:3" x14ac:dyDescent="0.3">
      <c r="A14" t="s">
        <v>114</v>
      </c>
      <c r="B14">
        <v>1197</v>
      </c>
      <c r="C14">
        <v>2</v>
      </c>
    </row>
    <row r="15" spans="1:3" x14ac:dyDescent="0.3">
      <c r="A15" t="s">
        <v>110</v>
      </c>
      <c r="B15">
        <v>20200</v>
      </c>
      <c r="C15">
        <v>28</v>
      </c>
    </row>
    <row r="16" spans="1:3" x14ac:dyDescent="0.3">
      <c r="A16" t="s">
        <v>115</v>
      </c>
      <c r="B16">
        <v>71597</v>
      </c>
      <c r="C16">
        <v>100</v>
      </c>
    </row>
    <row r="18" spans="1:3" x14ac:dyDescent="0.3">
      <c r="A18" t="s">
        <v>116</v>
      </c>
      <c r="B18" t="s">
        <v>117</v>
      </c>
      <c r="C18" t="s">
        <v>101</v>
      </c>
    </row>
    <row r="19" spans="1:3" x14ac:dyDescent="0.3">
      <c r="A19" t="s">
        <v>118</v>
      </c>
      <c r="B19">
        <v>8</v>
      </c>
      <c r="C19">
        <v>18500</v>
      </c>
    </row>
    <row r="20" spans="1:3" x14ac:dyDescent="0.3">
      <c r="A20" t="s">
        <v>119</v>
      </c>
      <c r="B20">
        <v>5</v>
      </c>
      <c r="C20">
        <v>12200</v>
      </c>
    </row>
    <row r="21" spans="1:3" x14ac:dyDescent="0.3">
      <c r="A21" t="s">
        <v>120</v>
      </c>
      <c r="B21">
        <v>4</v>
      </c>
      <c r="C21">
        <v>10500</v>
      </c>
    </row>
    <row r="22" spans="1:3" x14ac:dyDescent="0.3">
      <c r="A22" t="s">
        <v>121</v>
      </c>
      <c r="B22">
        <v>3</v>
      </c>
      <c r="C22">
        <v>5000</v>
      </c>
    </row>
    <row r="23" spans="1:3" x14ac:dyDescent="0.3">
      <c r="A23" t="s">
        <v>122</v>
      </c>
      <c r="B23">
        <v>2</v>
      </c>
      <c r="C23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A324-5DDF-4E56-B62C-C5D93C667EB3}">
  <dimension ref="A1:D31"/>
  <sheetViews>
    <sheetView workbookViewId="0">
      <selection activeCell="H17" sqref="H17"/>
    </sheetView>
  </sheetViews>
  <sheetFormatPr defaultRowHeight="14.4" x14ac:dyDescent="0.3"/>
  <cols>
    <col min="1" max="1" width="35.6640625" customWidth="1"/>
    <col min="2" max="2" width="26" customWidth="1"/>
    <col min="3" max="3" width="22.77734375" customWidth="1"/>
    <col min="4" max="4" width="11.21875" customWidth="1"/>
    <col min="5" max="5" width="9.44140625" customWidth="1"/>
  </cols>
  <sheetData>
    <row r="1" spans="1:4" x14ac:dyDescent="0.3">
      <c r="A1" s="5" t="s">
        <v>160</v>
      </c>
    </row>
    <row r="2" spans="1:4" x14ac:dyDescent="0.3">
      <c r="A2" s="3" t="s">
        <v>124</v>
      </c>
      <c r="B2" s="3" t="s">
        <v>125</v>
      </c>
      <c r="C2" s="3" t="s">
        <v>126</v>
      </c>
      <c r="D2" s="3" t="s">
        <v>127</v>
      </c>
    </row>
    <row r="3" spans="1:4" x14ac:dyDescent="0.3">
      <c r="A3" s="3" t="s">
        <v>128</v>
      </c>
      <c r="B3" s="3" t="s">
        <v>129</v>
      </c>
      <c r="C3" s="3">
        <v>25</v>
      </c>
      <c r="D3" s="3">
        <v>835200</v>
      </c>
    </row>
    <row r="4" spans="1:4" x14ac:dyDescent="0.3">
      <c r="A4" s="5" t="s">
        <v>161</v>
      </c>
    </row>
    <row r="5" spans="1:4" x14ac:dyDescent="0.3">
      <c r="A5" s="4" t="s">
        <v>130</v>
      </c>
      <c r="B5" s="4" t="s">
        <v>131</v>
      </c>
    </row>
    <row r="6" spans="1:4" x14ac:dyDescent="0.3">
      <c r="A6" s="4" t="s">
        <v>132</v>
      </c>
      <c r="B6" s="4" t="s">
        <v>133</v>
      </c>
    </row>
    <row r="7" spans="1:4" x14ac:dyDescent="0.3">
      <c r="A7" s="4" t="s">
        <v>134</v>
      </c>
      <c r="B7" s="4" t="s">
        <v>135</v>
      </c>
    </row>
    <row r="8" spans="1:4" x14ac:dyDescent="0.3">
      <c r="A8" s="4" t="s">
        <v>136</v>
      </c>
      <c r="B8" s="4" t="s">
        <v>137</v>
      </c>
    </row>
    <row r="9" spans="1:4" x14ac:dyDescent="0.3">
      <c r="A9" s="4" t="s">
        <v>138</v>
      </c>
      <c r="B9" s="4" t="s">
        <v>139</v>
      </c>
    </row>
    <row r="10" spans="1:4" x14ac:dyDescent="0.3">
      <c r="A10" s="4" t="s">
        <v>140</v>
      </c>
      <c r="B10" s="4" t="s">
        <v>141</v>
      </c>
    </row>
    <row r="11" spans="1:4" x14ac:dyDescent="0.3">
      <c r="A11" s="5" t="s">
        <v>162</v>
      </c>
    </row>
    <row r="12" spans="1:4" x14ac:dyDescent="0.3">
      <c r="A12" s="6" t="s">
        <v>100</v>
      </c>
      <c r="B12" s="6" t="s">
        <v>142</v>
      </c>
      <c r="C12" s="6" t="s">
        <v>143</v>
      </c>
      <c r="D12" s="6" t="s">
        <v>96</v>
      </c>
    </row>
    <row r="13" spans="1:4" x14ac:dyDescent="0.3">
      <c r="A13" s="6" t="s">
        <v>144</v>
      </c>
      <c r="B13" s="6">
        <v>835200</v>
      </c>
      <c r="C13" s="6">
        <v>785000</v>
      </c>
      <c r="D13" s="6">
        <v>50200</v>
      </c>
    </row>
    <row r="14" spans="1:4" x14ac:dyDescent="0.3">
      <c r="A14" s="6" t="s">
        <v>145</v>
      </c>
      <c r="B14" s="6">
        <v>41698</v>
      </c>
      <c r="C14" s="6">
        <v>40501</v>
      </c>
      <c r="D14" s="6">
        <v>1197</v>
      </c>
    </row>
    <row r="15" spans="1:4" x14ac:dyDescent="0.3">
      <c r="A15" s="6" t="s">
        <v>146</v>
      </c>
      <c r="B15" s="6">
        <v>715200</v>
      </c>
      <c r="C15" s="6">
        <v>695000</v>
      </c>
      <c r="D15" s="6">
        <v>20200</v>
      </c>
    </row>
    <row r="16" spans="1:4" x14ac:dyDescent="0.3">
      <c r="A16" s="5" t="s">
        <v>163</v>
      </c>
    </row>
    <row r="17" spans="1:3" x14ac:dyDescent="0.3">
      <c r="A17" s="7" t="s">
        <v>111</v>
      </c>
      <c r="B17" s="7" t="s">
        <v>101</v>
      </c>
    </row>
    <row r="18" spans="1:3" x14ac:dyDescent="0.3">
      <c r="A18" s="7" t="s">
        <v>113</v>
      </c>
      <c r="B18" s="7">
        <v>50200</v>
      </c>
    </row>
    <row r="19" spans="1:3" x14ac:dyDescent="0.3">
      <c r="A19" s="7" t="s">
        <v>147</v>
      </c>
      <c r="B19" s="7">
        <v>20200</v>
      </c>
    </row>
    <row r="20" spans="1:3" x14ac:dyDescent="0.3">
      <c r="A20" s="7" t="s">
        <v>148</v>
      </c>
      <c r="B20" s="7">
        <v>1197</v>
      </c>
    </row>
    <row r="21" spans="1:3" x14ac:dyDescent="0.3">
      <c r="A21" s="5" t="s">
        <v>164</v>
      </c>
    </row>
    <row r="22" spans="1:3" x14ac:dyDescent="0.3">
      <c r="A22" s="8" t="s">
        <v>116</v>
      </c>
      <c r="B22" s="8" t="s">
        <v>149</v>
      </c>
      <c r="C22" s="8" t="s">
        <v>101</v>
      </c>
    </row>
    <row r="23" spans="1:3" x14ac:dyDescent="0.3">
      <c r="A23" s="8" t="s">
        <v>150</v>
      </c>
      <c r="B23" s="8">
        <v>8</v>
      </c>
      <c r="C23" s="8">
        <v>18500</v>
      </c>
    </row>
    <row r="24" spans="1:3" x14ac:dyDescent="0.3">
      <c r="A24" s="8" t="s">
        <v>151</v>
      </c>
      <c r="B24" s="8">
        <v>5</v>
      </c>
      <c r="C24" s="8">
        <v>12200</v>
      </c>
    </row>
    <row r="25" spans="1:3" x14ac:dyDescent="0.3">
      <c r="A25" s="8" t="s">
        <v>120</v>
      </c>
      <c r="B25" s="8">
        <v>4</v>
      </c>
      <c r="C25" s="8">
        <v>10500</v>
      </c>
    </row>
    <row r="26" spans="1:3" x14ac:dyDescent="0.3">
      <c r="A26" s="8" t="s">
        <v>152</v>
      </c>
      <c r="B26" s="8">
        <v>3</v>
      </c>
      <c r="C26" s="8">
        <v>5000</v>
      </c>
    </row>
    <row r="27" spans="1:3" x14ac:dyDescent="0.3">
      <c r="A27" s="5" t="s">
        <v>123</v>
      </c>
    </row>
    <row r="28" spans="1:3" x14ac:dyDescent="0.3">
      <c r="A28" s="9" t="s">
        <v>153</v>
      </c>
      <c r="B28" s="9" t="s">
        <v>154</v>
      </c>
    </row>
    <row r="29" spans="1:3" x14ac:dyDescent="0.3">
      <c r="A29" s="9" t="s">
        <v>155</v>
      </c>
      <c r="B29" s="9">
        <v>71597</v>
      </c>
    </row>
    <row r="30" spans="1:3" x14ac:dyDescent="0.3">
      <c r="A30" s="9" t="s">
        <v>156</v>
      </c>
      <c r="B30" s="9" t="s">
        <v>157</v>
      </c>
    </row>
    <row r="31" spans="1:3" x14ac:dyDescent="0.3">
      <c r="A31" s="9" t="s">
        <v>158</v>
      </c>
      <c r="B31" s="9" t="s">
        <v>159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C7E9-AF2B-4938-AE6C-DC5EDE89658F}">
  <dimension ref="A1:C9"/>
  <sheetViews>
    <sheetView workbookViewId="0">
      <selection activeCell="M9" sqref="M9"/>
    </sheetView>
  </sheetViews>
  <sheetFormatPr defaultRowHeight="14.4" x14ac:dyDescent="0.3"/>
  <cols>
    <col min="1" max="1" width="24.5546875" customWidth="1"/>
    <col min="2" max="2" width="13.21875" customWidth="1"/>
    <col min="3" max="3" width="14.77734375" customWidth="1"/>
  </cols>
  <sheetData>
    <row r="1" spans="1:3" x14ac:dyDescent="0.3">
      <c r="A1" s="10" t="s">
        <v>165</v>
      </c>
      <c r="B1" s="10" t="s">
        <v>142</v>
      </c>
      <c r="C1" s="10" t="s">
        <v>143</v>
      </c>
    </row>
    <row r="2" spans="1:3" ht="26.4" x14ac:dyDescent="0.3">
      <c r="A2" s="11" t="s">
        <v>166</v>
      </c>
      <c r="B2" s="11">
        <v>835200</v>
      </c>
      <c r="C2" s="11">
        <v>785000</v>
      </c>
    </row>
    <row r="3" spans="1:3" ht="26.4" x14ac:dyDescent="0.3">
      <c r="A3" s="11" t="s">
        <v>94</v>
      </c>
      <c r="B3" s="11">
        <v>41698</v>
      </c>
      <c r="C3" s="11">
        <v>40501</v>
      </c>
    </row>
    <row r="4" spans="1:3" ht="26.4" x14ac:dyDescent="0.3">
      <c r="A4" s="11" t="s">
        <v>167</v>
      </c>
      <c r="B4" s="11">
        <v>715200</v>
      </c>
      <c r="C4" s="11">
        <v>695000</v>
      </c>
    </row>
    <row r="5" spans="1:3" ht="60" x14ac:dyDescent="0.3">
      <c r="A5" s="12" t="s">
        <v>168</v>
      </c>
    </row>
    <row r="6" spans="1:3" ht="26.4" x14ac:dyDescent="0.3">
      <c r="A6" s="10" t="s">
        <v>111</v>
      </c>
      <c r="B6" s="10" t="s">
        <v>101</v>
      </c>
    </row>
    <row r="7" spans="1:3" ht="39.6" x14ac:dyDescent="0.3">
      <c r="A7" s="11" t="s">
        <v>169</v>
      </c>
      <c r="B7" s="11">
        <v>50200</v>
      </c>
    </row>
    <row r="8" spans="1:3" ht="39.6" x14ac:dyDescent="0.3">
      <c r="A8" s="11" t="s">
        <v>170</v>
      </c>
      <c r="B8" s="11">
        <v>1197</v>
      </c>
    </row>
    <row r="9" spans="1:3" ht="39.6" x14ac:dyDescent="0.3">
      <c r="A9" s="11" t="s">
        <v>110</v>
      </c>
      <c r="B9" s="11">
        <v>20200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87E0-0E9B-4395-8E1B-A77796B04A23}">
  <dimension ref="A1:C35"/>
  <sheetViews>
    <sheetView tabSelected="1" workbookViewId="0">
      <selection activeCell="E29" sqref="E29"/>
    </sheetView>
  </sheetViews>
  <sheetFormatPr defaultRowHeight="14.4" x14ac:dyDescent="0.3"/>
  <cols>
    <col min="1" max="1" width="16.44140625" customWidth="1"/>
    <col min="2" max="2" width="37.88671875" customWidth="1"/>
    <col min="3" max="3" width="26.88671875" bestFit="1" customWidth="1"/>
  </cols>
  <sheetData>
    <row r="1" spans="1:3" x14ac:dyDescent="0.3">
      <c r="A1" t="s">
        <v>171</v>
      </c>
      <c r="B1" t="s">
        <v>84</v>
      </c>
      <c r="C1" t="s">
        <v>172</v>
      </c>
    </row>
    <row r="2" spans="1:3" x14ac:dyDescent="0.3">
      <c r="A2" t="s">
        <v>173</v>
      </c>
      <c r="B2" t="s">
        <v>174</v>
      </c>
      <c r="C2" t="s">
        <v>175</v>
      </c>
    </row>
    <row r="3" spans="1:3" x14ac:dyDescent="0.3">
      <c r="A3" t="s">
        <v>176</v>
      </c>
      <c r="B3" t="s">
        <v>177</v>
      </c>
      <c r="C3" t="s">
        <v>178</v>
      </c>
    </row>
    <row r="5" spans="1:3" x14ac:dyDescent="0.3">
      <c r="A5" t="s">
        <v>171</v>
      </c>
      <c r="B5" t="s">
        <v>179</v>
      </c>
      <c r="C5" t="s">
        <v>84</v>
      </c>
    </row>
    <row r="6" spans="1:3" x14ac:dyDescent="0.3">
      <c r="A6" t="s">
        <v>180</v>
      </c>
      <c r="B6" t="s">
        <v>181</v>
      </c>
      <c r="C6" t="s">
        <v>182</v>
      </c>
    </row>
    <row r="7" spans="1:3" x14ac:dyDescent="0.3">
      <c r="A7" t="s">
        <v>97</v>
      </c>
      <c r="B7" t="s">
        <v>183</v>
      </c>
      <c r="C7" t="s">
        <v>184</v>
      </c>
    </row>
    <row r="8" spans="1:3" x14ac:dyDescent="0.3">
      <c r="A8" t="s">
        <v>97</v>
      </c>
      <c r="B8" t="s">
        <v>185</v>
      </c>
      <c r="C8" t="s">
        <v>186</v>
      </c>
    </row>
    <row r="10" spans="1:3" x14ac:dyDescent="0.3">
      <c r="A10" t="s">
        <v>187</v>
      </c>
      <c r="B10" t="s">
        <v>188</v>
      </c>
      <c r="C10" t="s">
        <v>172</v>
      </c>
    </row>
    <row r="11" spans="1:3" x14ac:dyDescent="0.3">
      <c r="A11">
        <v>1</v>
      </c>
      <c r="B11" t="s">
        <v>189</v>
      </c>
      <c r="C11" t="s">
        <v>190</v>
      </c>
    </row>
    <row r="12" spans="1:3" x14ac:dyDescent="0.3">
      <c r="A12">
        <v>2</v>
      </c>
      <c r="B12" t="s">
        <v>191</v>
      </c>
      <c r="C12" t="s">
        <v>192</v>
      </c>
    </row>
    <row r="13" spans="1:3" x14ac:dyDescent="0.3">
      <c r="A13">
        <v>3</v>
      </c>
      <c r="B13" t="s">
        <v>193</v>
      </c>
      <c r="C13" t="s">
        <v>194</v>
      </c>
    </row>
    <row r="14" spans="1:3" x14ac:dyDescent="0.3">
      <c r="A14">
        <v>4</v>
      </c>
      <c r="B14" t="s">
        <v>195</v>
      </c>
      <c r="C14" t="s">
        <v>196</v>
      </c>
    </row>
    <row r="15" spans="1:3" x14ac:dyDescent="0.3">
      <c r="A15">
        <v>5</v>
      </c>
      <c r="B15" t="s">
        <v>197</v>
      </c>
      <c r="C15" t="s">
        <v>198</v>
      </c>
    </row>
    <row r="17" spans="1:3" x14ac:dyDescent="0.3">
      <c r="A17" t="s">
        <v>199</v>
      </c>
      <c r="B17" t="s">
        <v>224</v>
      </c>
      <c r="C17" t="s">
        <v>200</v>
      </c>
    </row>
    <row r="18" spans="1:3" x14ac:dyDescent="0.3">
      <c r="A18" t="s">
        <v>225</v>
      </c>
      <c r="B18" t="s">
        <v>91</v>
      </c>
      <c r="C18" t="s">
        <v>233</v>
      </c>
    </row>
    <row r="19" spans="1:3" x14ac:dyDescent="0.3">
      <c r="A19" t="s">
        <v>226</v>
      </c>
      <c r="B19" t="s">
        <v>92</v>
      </c>
      <c r="C19" t="s">
        <v>234</v>
      </c>
    </row>
    <row r="20" spans="1:3" x14ac:dyDescent="0.3">
      <c r="A20" t="s">
        <v>227</v>
      </c>
      <c r="B20" t="s">
        <v>93</v>
      </c>
      <c r="C20" t="s">
        <v>235</v>
      </c>
    </row>
    <row r="21" spans="1:3" x14ac:dyDescent="0.3">
      <c r="A21" t="s">
        <v>228</v>
      </c>
      <c r="B21" t="s">
        <v>94</v>
      </c>
      <c r="C21" t="s">
        <v>236</v>
      </c>
    </row>
    <row r="22" spans="1:3" x14ac:dyDescent="0.3">
      <c r="A22" t="s">
        <v>229</v>
      </c>
      <c r="B22" t="s">
        <v>95</v>
      </c>
      <c r="C22" t="s">
        <v>237</v>
      </c>
    </row>
    <row r="23" spans="1:3" x14ac:dyDescent="0.3">
      <c r="A23" t="s">
        <v>230</v>
      </c>
      <c r="B23" t="s">
        <v>96</v>
      </c>
      <c r="C23" t="s">
        <v>238</v>
      </c>
    </row>
    <row r="25" spans="1:3" x14ac:dyDescent="0.3">
      <c r="A25" t="s">
        <v>202</v>
      </c>
      <c r="B25" t="s">
        <v>200</v>
      </c>
      <c r="C25" t="s">
        <v>203</v>
      </c>
    </row>
    <row r="26" spans="1:3" x14ac:dyDescent="0.3">
      <c r="A26" t="s">
        <v>132</v>
      </c>
      <c r="B26" t="s">
        <v>231</v>
      </c>
      <c r="C26" t="s">
        <v>204</v>
      </c>
    </row>
    <row r="27" spans="1:3" x14ac:dyDescent="0.3">
      <c r="A27" t="s">
        <v>205</v>
      </c>
      <c r="B27" t="s">
        <v>232</v>
      </c>
      <c r="C27" t="s">
        <v>206</v>
      </c>
    </row>
    <row r="28" spans="1:3" x14ac:dyDescent="0.3">
      <c r="A28" t="s">
        <v>207</v>
      </c>
      <c r="B28" t="s">
        <v>233</v>
      </c>
      <c r="C28" t="s">
        <v>208</v>
      </c>
    </row>
    <row r="30" spans="1:3" x14ac:dyDescent="0.3">
      <c r="A30" t="s">
        <v>209</v>
      </c>
      <c r="B30" t="s">
        <v>201</v>
      </c>
      <c r="C30" t="s">
        <v>188</v>
      </c>
    </row>
    <row r="31" spans="1:3" x14ac:dyDescent="0.3">
      <c r="A31" t="s">
        <v>210</v>
      </c>
      <c r="B31" t="s">
        <v>211</v>
      </c>
      <c r="C31" t="s">
        <v>212</v>
      </c>
    </row>
    <row r="32" spans="1:3" x14ac:dyDescent="0.3">
      <c r="A32" t="s">
        <v>213</v>
      </c>
      <c r="B32" t="s">
        <v>214</v>
      </c>
      <c r="C32" t="s">
        <v>215</v>
      </c>
    </row>
    <row r="33" spans="1:3" x14ac:dyDescent="0.3">
      <c r="A33" t="s">
        <v>180</v>
      </c>
      <c r="B33" t="s">
        <v>216</v>
      </c>
      <c r="C33" t="s">
        <v>217</v>
      </c>
    </row>
    <row r="34" spans="1:3" x14ac:dyDescent="0.3">
      <c r="A34" t="s">
        <v>218</v>
      </c>
      <c r="B34" t="s">
        <v>219</v>
      </c>
      <c r="C34" t="s">
        <v>220</v>
      </c>
    </row>
    <row r="35" spans="1:3" x14ac:dyDescent="0.3">
      <c r="A35" t="s">
        <v>221</v>
      </c>
      <c r="B35" t="s">
        <v>222</v>
      </c>
      <c r="C3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GSTR1</vt:lpstr>
      <vt:lpstr>GSTR3</vt:lpstr>
      <vt:lpstr>Reconciliation</vt:lpstr>
      <vt:lpstr>Summary</vt:lpstr>
      <vt:lpstr>Report</vt:lpstr>
      <vt:lpstr>Charts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Krati Kulshrestha</dc:creator>
  <cp:lastModifiedBy>Krati Kulshrestha</cp:lastModifiedBy>
  <dcterms:created xsi:type="dcterms:W3CDTF">2026-02-14T12:21:29Z</dcterms:created>
  <dcterms:modified xsi:type="dcterms:W3CDTF">2026-02-15T07:24:56Z</dcterms:modified>
</cp:coreProperties>
</file>